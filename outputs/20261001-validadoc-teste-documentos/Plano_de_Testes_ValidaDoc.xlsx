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ddb59097b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s" sheetId="1" r:id="R6ab42c66985840c4"/>
    <x:sheet xmlns:r="http://schemas.openxmlformats.org/officeDocument/2006/relationships" name="Arquivos" sheetId="2" r:id="Rd11c38efc8ee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8">
    <x:font>
      <x:sz val="11"/>
      <x:name val="Carlito"/>
    </x:font>
    <x:font>
      <x:sz val="10"/>
      <x:color rgb="FF0B243D"/>
      <x:name val="Arial"/>
    </x:font>
    <x:font>
      <x:b/>
      <x:sz val="15"/>
      <x:color rgb="FF12345B"/>
      <x:name val="Arial"/>
    </x:font>
    <x:font>
      <x:i/>
      <x:sz val="10"/>
      <x:color rgb="FF5B6B7B"/>
      <x:name val="Arial"/>
    </x:font>
    <x:font>
      <x:b/>
      <x:sz val="10"/>
      <x:color rgb="FF12345B"/>
      <x:name val="Arial"/>
    </x:font>
    <x:font>
      <x:b/>
      <x:sz val="13"/>
      <x:color rgb="FF12345B"/>
      <x:name val="Arial"/>
    </x:font>
    <x:font>
      <x:sz val="10"/>
      <x:color rgb="FF5B6B7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A"/>
      </x:patternFill>
    </x:fill>
    <x:fill>
      <x:patternFill patternType="solid">
        <x:fgColor rgb="FF12345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12222"/>
      </x:font>
      <x:fill>
        <x:patternFill>
          <x:bgColor rgb="FFFDE8E8"/>
        </x:patternFill>
      </x:fill>
    </x:dxf>
    <x:dxf>
      <x:font>
        <x:b/>
        <x:color rgb="FF8C5A00"/>
      </x:font>
      <x:fill>
        <x:patternFill>
          <x:bgColor rgb="FFFFF0CC"/>
        </x:patternFill>
      </x:fill>
    </x:dxf>
    <x:dxf>
      <x:font>
        <x:b/>
        <x:color rgb="FF1E6A37"/>
      </x:font>
      <x:fill>
        <x:patternFill>
          <x:bgColor rgb="FFE7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cced2063047b1" /><Relationship Type="http://schemas.openxmlformats.org/officeDocument/2006/relationships/theme" Target="/xl/theme/theme1.xml" Id="R0c354b8901224b67" /><Relationship Type="http://schemas.openxmlformats.org/officeDocument/2006/relationships/sharedStrings" Target="/xl/sharedStrings.xml" Id="R083505a0cc7b481d" /><Relationship Type="http://schemas.openxmlformats.org/officeDocument/2006/relationships/worksheet" Target="/xl/worksheets/sheet1.xml" Id="R6ab42c66985840c4" /><Relationship Type="http://schemas.openxmlformats.org/officeDocument/2006/relationships/worksheet" Target="/xl/worksheets/sheet2.xml" Id="Rd11c38efc8ee4b95" /></Relationships>
</file>

<file path=xl/tables/table1.xml><?xml version="1.0" encoding="utf-8"?>
<x:table xmlns:x="http://schemas.openxmlformats.org/spreadsheetml/2006/main" id="1" name="CasosValidaDoc" displayName="CasosValidaDoc" ref="A10:M43" headerRowCount="1" totalsRowCount="0" totalsRowShown="0">
  <x:tableColumns count="13">
    <x:tableColumn id="1" name="ID"/>
    <x:tableColumn id="2" name="Prioridade"/>
    <x:tableColumn id="3" name="Etapa"/>
    <x:tableColumn id="4" name="Cenário"/>
    <x:tableColumn id="5" name="Arquivo(s)"/>
    <x:tableColumn id="6" name="Procedimento"/>
    <x:tableColumn id="7" name="Resultado esperado"/>
    <x:tableColumn id="8" name="Status"/>
    <x:tableColumn id="9" name="Resultado observado"/>
    <x:tableColumn id="10" name="Evidência"/>
    <x:tableColumn id="11" name="Responsável"/>
    <x:tableColumn id="12" name="Data"/>
    <x:tableColumn id="13" name="Teste no códig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quivosValidaDoc" displayName="ArquivosValidaDoc" ref="A8:I20" headerRowCount="1" totalsRowCount="0" totalsRowShown="0">
  <x:tableColumns count="9">
    <x:tableColumn id="1" name="Código"/>
    <x:tableColumn id="2" name="Pasta"/>
    <x:tableColumn id="3" name="Arquivo"/>
    <x:tableColumn id="4" name="Tipo sugerido"/>
    <x:tableColumn id="5" name="Formato"/>
    <x:tableColumn id="6" name="Tamanho (KB)"/>
    <x:tableColumn id="7" name="Uso no teste"/>
    <x:tableColumn id="8" name="Situação"/>
    <x:tableColumn id="9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7d34f7358040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380bbefcc2458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0" topLeftCell="E11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35" hidden="0" customWidth="1"/>
    <x:col min="5" max="5" width="17" hidden="0" customWidth="1"/>
    <x:col min="6" max="6" width="62" hidden="0" customWidth="1"/>
    <x:col min="7" max="7" width="62" hidden="0" customWidth="1"/>
    <x:col min="8" max="8" width="17" hidden="0" customWidth="1"/>
    <x:col min="9" max="9" width="42" hidden="0" customWidth="1"/>
    <x:col min="10" max="10" width="34" hidden="0" customWidth="1"/>
    <x:col min="11" max="11" width="17" hidden="0" customWidth="1"/>
    <x:col min="12" max="12" width="14" hidden="0" customWidth="1"/>
    <x:col min="13" max="13" width="27" hidden="0" customWidth="1"/>
  </x:cols>
  <x:sheetData>
    <x:row r="2">
      <x:c r="A2" s="2" t="str">
        <x:v>Plano de validação do ValidaDoc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Jornada de documentos e auditoria. Reteste web de 02/10/2026.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5" t="str">
        <x:v>Casos</x:v>
      </x:c>
      <x:c r="B5" s="5"/>
      <x:c r="C5" s="5" t="str">
        <x:v>Aprovados</x:v>
      </x:c>
      <x:c r="D5" s="5"/>
      <x:c r="E5" s="5"/>
      <x:c r="F5" s="5" t="str">
        <x:v>Falhas</x:v>
      </x:c>
      <x:c r="G5" s="5"/>
      <x:c r="H5" s="5" t="str">
        <x:v>Bloqueados</x:v>
      </x:c>
      <x:c r="I5" s="5"/>
      <x:c r="J5" s="5"/>
      <x:c r="K5" s="5" t="str">
        <x:v>Não executados</x:v>
      </x:c>
      <x:c r="L5" s="5"/>
      <x:c r="M5" s="1"/>
    </x:row>
    <x:row r="6">
      <x:c r="A6" s="6" t="n">
        <x:f>COUNTA(A11:A43)</x:f>
        <x:v>33</x:v>
      </x:c>
      <x:c r="B6" s="4"/>
      <x:c r="C6" s="6" t="n">
        <x:f>COUNTIFS(H11:H43,"Aprovado")</x:f>
        <x:v>22</x:v>
      </x:c>
      <x:c r="D6" s="4"/>
      <x:c r="E6" s="4"/>
      <x:c r="F6" s="6" t="n">
        <x:f>COUNTIFS(H11:H43,"Falhou")</x:f>
        <x:v>0</x:v>
      </x:c>
      <x:c r="G6" s="4"/>
      <x:c r="H6" s="6" t="n">
        <x:f>COUNTIFS(H11:H43,"Bloqueado")</x:f>
        <x:v>5</x:v>
      </x:c>
      <x:c r="I6" s="4"/>
      <x:c r="J6" s="4"/>
      <x:c r="K6" s="6" t="n">
        <x:f>COUNTIFS(H11:H43,"Não executado")</x:f>
        <x:v>6</x:v>
      </x:c>
      <x:c r="L6" s="4"/>
      <x:c r="M6" s="1"/>
    </x:row>
    <x:row r="7">
      <x:c r="A7" s="7" t="str">
        <x:v>Base automatizada: 77 testes aprovados. Resultados de API e navegador identificados nas evidências.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7" t="str">
        <x:v>Preencha Status, Resultado observado, Evidência, Responsável e Data. Registre IDs e mensagens; não copie CPF nem imagens para esta planilha.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32" customHeight="1">
      <x:c r="A10" s="11" t="str">
        <x:v>ID</x:v>
      </x:c>
      <x:c r="B10" s="11" t="str">
        <x:v>Prioridade</x:v>
      </x:c>
      <x:c r="C10" s="11" t="str">
        <x:v>Etapa</x:v>
      </x:c>
      <x:c r="D10" s="11" t="str">
        <x:v>Cenário</x:v>
      </x:c>
      <x:c r="E10" s="11" t="str">
        <x:v>Arquivo(s)</x:v>
      </x:c>
      <x:c r="F10" s="11" t="str">
        <x:v>Procedimento</x:v>
      </x:c>
      <x:c r="G10" s="11" t="str">
        <x:v>Resultado esperado</x:v>
      </x:c>
      <x:c r="H10" s="11" t="str">
        <x:v>Status</x:v>
      </x:c>
      <x:c r="I10" s="11" t="str">
        <x:v>Resultado observado</x:v>
      </x:c>
      <x:c r="J10" s="11" t="str">
        <x:v>Evidência</x:v>
      </x:c>
      <x:c r="K10" s="11" t="str">
        <x:v>Responsável</x:v>
      </x:c>
      <x:c r="L10" s="11" t="str">
        <x:v>Data</x:v>
      </x:c>
      <x:c r="M10" s="11" t="str">
        <x:v>Teste no código</x:v>
      </x:c>
    </x:row>
    <x:row r="11" ht="78" customHeight="1">
      <x:c r="A11" s="12" t="str">
        <x:v>T01</x:v>
      </x:c>
      <x:c r="B11" s="12" t="str">
        <x:v>P0</x:v>
      </x:c>
      <x:c r="C11" s="12" t="str">
        <x:v>Acesso e KYC</x:v>
      </x:c>
      <x:c r="D11" s="13" t="str">
        <x:v>Abrir inscrição de teste</x:v>
      </x:c>
      <x:c r="E11" s="13" t="str">
        <x:v>—</x:v>
      </x:c>
      <x:c r="F11" s="13" t="str">
        <x:v>Entrar como candidato de teste e abrir a jornada.</x:v>
      </x:c>
      <x:c r="G11" s="13" t="str">
        <x:v>Inscrição e etapa atual aparecem sem dados de outra pessoa.</x:v>
      </x:c>
      <x:c r="H11" s="15" t="str">
        <x:v>Aprovado</x:v>
      </x:c>
      <x:c r="I11" s="15" t="str">
        <x:v>Login do candidato e jornada conferidos no Chrome.</x:v>
      </x:c>
      <x:c r="J11" s="15" t="str">
        <x:v>Web, inscrição 9; web-revisao-manual.jpg.</x:v>
      </x:c>
      <x:c r="K11" s="15" t="str">
        <x:v>Codex</x:v>
      </x:c>
      <x:c r="L11" s="18" t="n">
        <x:v>46297.625</x:v>
      </x:c>
      <x:c r="M11" s="13" t="str"/>
    </x:row>
    <x:row r="12" ht="52" customHeight="1">
      <x:c r="A12" s="12" t="str">
        <x:v>T02</x:v>
      </x:c>
      <x:c r="B12" s="12" t="str">
        <x:v>P0</x:v>
      </x:c>
      <x:c r="C12" s="12" t="str">
        <x:v>Acesso e KYC</x:v>
      </x:c>
      <x:c r="D12" s="13" t="str">
        <x:v>Bloquear etapa antes do KYC</x:v>
      </x:c>
      <x:c r="E12" s="13" t="str">
        <x:v>F01</x:v>
      </x:c>
      <x:c r="F12" s="13" t="str">
        <x:v>Antes de validar a identidade, tentar enviar documento familiar ou de residência.</x:v>
      </x:c>
      <x:c r="G12" s="13" t="str">
        <x:v>Sistema bloqueia o avanço e informa que o KYC deve ser concluído.</x:v>
      </x:c>
      <x:c r="H12" s="14" t="str">
        <x:v>Não executado</x:v>
      </x:c>
      <x:c r="I12" s="15" t="str"/>
      <x:c r="J12" s="15" t="str"/>
      <x:c r="K12" s="14" t="str"/>
      <x:c r="L12" s="16"/>
      <x:c r="M12" s="12" t="str">
        <x:v>test_bloqueio_jornada.py</x:v>
      </x:c>
    </x:row>
    <x:row r="13" ht="78" customHeight="1">
      <x:c r="A13" s="12" t="str">
        <x:v>T03</x:v>
      </x:c>
      <x:c r="B13" s="12" t="str">
        <x:v>P0</x:v>
      </x:c>
      <x:c r="C13" s="12" t="str">
        <x:v>Acesso e KYC</x:v>
      </x:c>
      <x:c r="D13" s="13" t="str">
        <x:v>Enviar RG frente</x:v>
      </x:c>
      <x:c r="E13" s="13" t="str">
        <x:v>F03</x:v>
      </x:c>
      <x:c r="F13" s="13" t="str">
        <x:v>Enviar F03 no campo RG do titular e registrar o ID retornado.</x:v>
      </x:c>
      <x:c r="G13" s="13" t="str">
        <x:v>Documento termina em CONCLUIDO com dados extraídos; erros ficam registrados.</x:v>
      </x:c>
      <x:c r="H13" s="15" t="str">
        <x:v>Aprovado</x:v>
      </x:c>
      <x:c r="I13" s="15" t="str">
        <x:v>RG frente enviado no seletor RG do KYC e concluído. Cadastro familiar liberado.</x:v>
      </x:c>
      <x:c r="J13" s="15" t="str">
        <x:v>Web, inscrição 9, F03.</x:v>
      </x:c>
      <x:c r="K13" s="15" t="str">
        <x:v>Codex</x:v>
      </x:c>
      <x:c r="L13" s="18" t="n">
        <x:v>46297.625</x:v>
      </x:c>
      <x:c r="M13" s="13"/>
    </x:row>
    <x:row r="14" ht="78" customHeight="1">
      <x:c r="A14" s="12" t="str">
        <x:v>T04</x:v>
      </x:c>
      <x:c r="B14" s="12" t="str">
        <x:v>P1</x:v>
      </x:c>
      <x:c r="C14" s="12" t="str">
        <x:v>Acesso e KYC</x:v>
      </x:c>
      <x:c r="D14" s="13" t="str">
        <x:v>Conferir RG verso</x:v>
      </x:c>
      <x:c r="E14" s="13" t="str">
        <x:v>F04</x:v>
      </x:c>
      <x:c r="F14" s="13" t="str">
        <x:v>Se a inscrição pedir RG_VERSO, enviar F04 no campo correspondente.</x:v>
      </x:c>
      <x:c r="G14" s="13" t="str">
        <x:v>Lado do RG é identificado e não é confundido com a frente.</x:v>
      </x:c>
      <x:c r="H14" s="15" t="str">
        <x:v>Aprovado</x:v>
      </x:c>
      <x:c r="I14" s="15" t="str">
        <x:v>RG verso concluído no reteste. Falso conflito inicial corrigido ao validar CPF da CNH.</x:v>
      </x:c>
      <x:c r="J14" s="15" t="str">
        <x:v>Web, inscrição 9, F04; RETESTE.md.</x:v>
      </x:c>
      <x:c r="K14" s="15" t="str">
        <x:v>Codex</x:v>
      </x:c>
      <x:c r="L14" s="18" t="n">
        <x:v>46297.625</x:v>
      </x:c>
      <x:c r="M14" s="13"/>
    </x:row>
    <x:row r="15" ht="78" customHeight="1">
      <x:c r="A15" s="12" t="str">
        <x:v>T05</x:v>
      </x:c>
      <x:c r="B15" s="12" t="str">
        <x:v>P0</x:v>
      </x:c>
      <x:c r="C15" s="12" t="str">
        <x:v>Acesso e KYC</x:v>
      </x:c>
      <x:c r="D15" s="13" t="str">
        <x:v>Validar CNH legível</x:v>
      </x:c>
      <x:c r="E15" s="13" t="str">
        <x:v>F01 ou F05</x:v>
      </x:c>
      <x:c r="F15" s="13" t="str">
        <x:v>Enviar uma CNH no campo do titular; acompanhar status e continuar a jornada.</x:v>
      </x:c>
      <x:c r="G15" s="13" t="str">
        <x:v>CNH válida é concluída e libera o cadastro familiar.</x:v>
      </x:c>
      <x:c r="H15" s="15" t="str">
        <x:v>Aprovado</x:v>
      </x:c>
      <x:c r="I15" s="15" t="str">
        <x:v>CNH PDF concluída com CPF válido e correspondente ao cadastro após corrigir leitura inválida inicial.</x:v>
      </x:c>
      <x:c r="J15" s="15" t="str">
        <x:v>Web, inscrição 9, F01; RETESTE.md.</x:v>
      </x:c>
      <x:c r="K15" s="15" t="str">
        <x:v>Codex</x:v>
      </x:c>
      <x:c r="L15" s="18" t="n">
        <x:v>46297.625</x:v>
      </x:c>
      <x:c r="M15" s="13"/>
    </x:row>
    <x:row r="16" ht="78" customHeight="1">
      <x:c r="A16" s="12" t="str">
        <x:v>T06</x:v>
      </x:c>
      <x:c r="B16" s="12" t="str">
        <x:v>P0</x:v>
      </x:c>
      <x:c r="C16" s="12" t="str">
        <x:v>Processamento</x:v>
      </x:c>
      <x:c r="D16" s="13" t="str">
        <x:v>Acompanhar processamento assíncrono</x:v>
      </x:c>
      <x:c r="E16" s="13" t="str">
        <x:v>F01</x:v>
      </x:c>
      <x:c r="F16" s="13" t="str">
        <x:v>Após upload, consultar a tela/status até o término.</x:v>
      </x:c>
      <x:c r="G16" s="13" t="str">
        <x:v>Status deixa PROCESSANDO_IA; resultado e mensagem ficam visíveis.</x:v>
      </x:c>
      <x:c r="H16" s="15" t="str">
        <x:v>Aprovado</x:v>
      </x:c>
      <x:c r="I16" s="15" t="str">
        <x:v>Uploads saíram de PROCESSANDO_IA. Resultado concluído, rejeição e alerta apareceram na tela.</x:v>
      </x:c>
      <x:c r="J16" s="15" t="str">
        <x:v>Web, F01 a F06; web-rejeicao.jpg.</x:v>
      </x:c>
      <x:c r="K16" s="15" t="str">
        <x:v>Codex</x:v>
      </x:c>
      <x:c r="L16" s="18" t="n">
        <x:v>46297.625</x:v>
      </x:c>
      <x:c r="M16" s="13"/>
    </x:row>
    <x:row r="17" ht="78" customHeight="1">
      <x:c r="A17" s="12" t="str">
        <x:v>T07</x:v>
      </x:c>
      <x:c r="B17" s="12" t="str">
        <x:v>P0</x:v>
      </x:c>
      <x:c r="C17" s="12" t="str">
        <x:v>Processamento</x:v>
      </x:c>
      <x:c r="D17" s="13" t="str">
        <x:v>Documento de outra pessoa no campo do titular</x:v>
      </x:c>
      <x:c r="E17" s="13" t="str">
        <x:v>F05</x:v>
      </x:c>
      <x:c r="F17" s="13" t="str">
        <x:v>Em inscrição do Pack A, enviar CNH do Pack B como identidade do titular.</x:v>
      </x:c>
      <x:c r="G17" s="13" t="str">
        <x:v>Documento é REJEITADO ou sinalizado para revisão; não confirma a identidade errada.</x:v>
      </x:c>
      <x:c r="H17" s="15" t="str">
        <x:v>Aprovado</x:v>
      </x:c>
      <x:c r="I17" s="15" t="str">
        <x:v>CNH do familiar enviada no campo do titular foi REJEITADA por identidade diferente.</x:v>
      </x:c>
      <x:c r="J17" s="15" t="str">
        <x:v>Web, F05; web-rejeicao.jpg.</x:v>
      </x:c>
      <x:c r="K17" s="15" t="str">
        <x:v>Codex</x:v>
      </x:c>
      <x:c r="L17" s="18" t="n">
        <x:v>46297.625</x:v>
      </x:c>
      <x:c r="M17" s="13" t="str">
        <x:v>test_validacao_documental.py</x:v>
      </x:c>
    </x:row>
    <x:row r="18" ht="52" customHeight="1">
      <x:c r="A18" s="12" t="str">
        <x:v>T08</x:v>
      </x:c>
      <x:c r="B18" s="12" t="str">
        <x:v>P1</x:v>
      </x:c>
      <x:c r="C18" s="12" t="str">
        <x:v>Processamento</x:v>
      </x:c>
      <x:c r="D18" s="13" t="str">
        <x:v>Imagem de baixa qualidade</x:v>
      </x:c>
      <x:c r="E18" s="13" t="str">
        <x:v>F07 convertido ou F10</x:v>
      </x:c>
      <x:c r="F18" s="13" t="str">
        <x:v>Enviar imagem ruim em formato aceito, no campo de identidade.</x:v>
      </x:c>
      <x:c r="G18" s="13" t="str">
        <x:v>Falha ou aviso legível; não há aprovação silenciosa de dados incertos.</x:v>
      </x:c>
      <x:c r="H18" s="14" t="str">
        <x:v>Não executado</x:v>
      </x:c>
      <x:c r="I18" s="15" t="str"/>
      <x:c r="J18" s="15" t="str"/>
      <x:c r="K18" s="14" t="str"/>
      <x:c r="L18" s="16"/>
      <x:c r="M18" s="12" t="str">
        <x:v>test_validacao_documental.py</x:v>
      </x:c>
    </x:row>
    <x:row r="19" ht="52" customHeight="1">
      <x:c r="A19" s="12" t="str">
        <x:v>T09</x:v>
      </x:c>
      <x:c r="B19" s="12" t="str">
        <x:v>P0</x:v>
      </x:c>
      <x:c r="C19" s="12" t="str">
        <x:v>Upload</x:v>
      </x:c>
      <x:c r="D19" s="13" t="str">
        <x:v>Formato HEIF não aceito</x:v>
      </x:c>
      <x:c r="E19" s="13" t="str">
        <x:v>F07</x:v>
      </x:c>
      <x:c r="F19" s="13" t="str">
        <x:v>Tentar enviar F07 sem converter.</x:v>
      </x:c>
      <x:c r="G19" s="13" t="str">
        <x:v>HTTP 400 e mensagem de formato não suportado; nenhum documento é criado.</x:v>
      </x:c>
      <x:c r="H19" s="14" t="str">
        <x:v>Aprovado</x:v>
      </x:c>
      <x:c r="I19" s="15" t="str">
        <x:v>HEIF recusado antes do processamento (HTTP 400).</x:v>
      </x:c>
      <x:c r="J19" s="15" t="str">
        <x:v>Rodada API isolada com F07.</x:v>
      </x:c>
      <x:c r="K19" s="14" t="str">
        <x:v>Codex</x:v>
      </x:c>
      <x:c r="L19" s="16" t="n">
        <x:v>46296.625</x:v>
      </x:c>
      <x:c r="M19" s="12"/>
    </x:row>
    <x:row r="20" ht="52" customHeight="1">
      <x:c r="A20" s="12" t="str">
        <x:v>T10</x:v>
      </x:c>
      <x:c r="B20" s="12" t="str">
        <x:v>P1</x:v>
      </x:c>
      <x:c r="C20" s="12" t="str">
        <x:v>Upload</x:v>
      </x:c>
      <x:c r="D20" s="13" t="str">
        <x:v>Arquivo vazio</x:v>
      </x:c>
      <x:c r="E20" s="13" t="str">
        <x:v>F11</x:v>
      </x:c>
      <x:c r="F20" s="13" t="str">
        <x:v>Enviar arquivo JPG ou PDF vazio.</x:v>
      </x:c>
      <x:c r="G20" s="13" t="str">
        <x:v>HTTP 400 e mensagem de arquivo vazio; nenhum processamento inicia.</x:v>
      </x:c>
      <x:c r="H20" s="14" t="str">
        <x:v>Aprovado</x:v>
      </x:c>
      <x:c r="I20" s="15" t="str">
        <x:v>Arquivo vazio recusado (HTTP 400).</x:v>
      </x:c>
      <x:c r="J20" s="15" t="str">
        <x:v>Rodada API isolada com 0 byte.</x:v>
      </x:c>
      <x:c r="K20" s="14" t="str">
        <x:v>Codex</x:v>
      </x:c>
      <x:c r="L20" s="16" t="n">
        <x:v>46296.625</x:v>
      </x:c>
      <x:c r="M20" s="12"/>
    </x:row>
    <x:row r="21" ht="52" customHeight="1">
      <x:c r="A21" s="12" t="str">
        <x:v>T11</x:v>
      </x:c>
      <x:c r="B21" s="12" t="str">
        <x:v>P0</x:v>
      </x:c>
      <x:c r="C21" s="12" t="str">
        <x:v>Upload</x:v>
      </x:c>
      <x:c r="D21" s="13" t="str">
        <x:v>Arquivo acima de 15 MB</x:v>
      </x:c>
      <x:c r="E21" s="13" t="str">
        <x:v>F12</x:v>
      </x:c>
      <x:c r="F21" s="13" t="str">
        <x:v>Enviar arquivo permitido com mais de 15 MB.</x:v>
      </x:c>
      <x:c r="G21" s="13" t="str">
        <x:v>HTTP 413; limite de 15 MB informado, sem salvar o arquivo.</x:v>
      </x:c>
      <x:c r="H21" s="14" t="str">
        <x:v>Aprovado</x:v>
      </x:c>
      <x:c r="I21" s="15" t="str">
        <x:v>Arquivo acima de 15 MB recusado (HTTP 413).</x:v>
      </x:c>
      <x:c r="J21" s="15" t="str">
        <x:v>Rodada API isolada com arquivo sintético.</x:v>
      </x:c>
      <x:c r="K21" s="14" t="str">
        <x:v>Codex</x:v>
      </x:c>
      <x:c r="L21" s="16" t="n">
        <x:v>46296.625</x:v>
      </x:c>
      <x:c r="M21" s="12"/>
    </x:row>
    <x:row r="22" ht="78" customHeight="1">
      <x:c r="A22" s="12" t="str">
        <x:v>T12</x:v>
      </x:c>
      <x:c r="B22" s="12" t="str">
        <x:v>P0</x:v>
      </x:c>
      <x:c r="C22" s="12" t="str">
        <x:v>Upload</x:v>
      </x:c>
      <x:c r="D22" s="13" t="str">
        <x:v>Mesmo arquivo em outro campo</x:v>
      </x:c>
      <x:c r="E22" s="13" t="str">
        <x:v>F01</x:v>
      </x:c>
      <x:c r="F22" s="13" t="str">
        <x:v>Enviar F01 em um campo e repetir os mesmos bytes em outro da mesma inscrição.</x:v>
      </x:c>
      <x:c r="G22" s="13" t="str">
        <x:v>Segundo envio bloqueado como duplicado (HTTP 422).</x:v>
      </x:c>
      <x:c r="H22" s="15" t="str">
        <x:v>Aprovado</x:v>
      </x:c>
      <x:c r="I22" s="15" t="str">
        <x:v>Mesmo PDF do titular em outro campo foi bloqueado com mensagem de duplicidade.</x:v>
      </x:c>
      <x:c r="J22" s="15" t="str">
        <x:v>Web, F01 no campo RG do familiar.</x:v>
      </x:c>
      <x:c r="K22" s="15" t="str">
        <x:v>Codex</x:v>
      </x:c>
      <x:c r="L22" s="18" t="n">
        <x:v>46297.625</x:v>
      </x:c>
      <x:c r="M22" s="13"/>
    </x:row>
    <x:row r="23" ht="78" customHeight="1">
      <x:c r="A23" s="12" t="str">
        <x:v>T13</x:v>
      </x:c>
      <x:c r="B23" s="12" t="str">
        <x:v>P1</x:v>
      </x:c>
      <x:c r="C23" s="12" t="str">
        <x:v>Upload</x:v>
      </x:c>
      <x:c r="D23" s="13" t="str">
        <x:v>Reenvio no mesmo campo</x:v>
      </x:c>
      <x:c r="E23" s="13" t="str">
        <x:v>F01</x:v>
      </x:c>
      <x:c r="F23" s="13" t="str">
        <x:v>Reenviar F01 no mesmo campo da mesma inscrição.</x:v>
      </x:c>
      <x:c r="G23" s="13" t="str">
        <x:v>Reenvio é aceito para nova tentativa; histórico e status permanecem coerentes.</x:v>
      </x:c>
      <x:c r="H23" s="15" t="str">
        <x:v>Não executado</x:v>
      </x:c>
      <x:c r="I23" s="15" t="str">
        <x:v>Reenvios de F01 e F04 aceitos e novo resultado visível. Coerência completa do histórico ainda não verificada.</x:v>
      </x:c>
      <x:c r="J23" s="15" t="str">
        <x:v>Web, inscrição 9. Verificação parcial.</x:v>
      </x:c>
      <x:c r="K23" s="15" t="str">
        <x:v>Codex</x:v>
      </x:c>
      <x:c r="L23" s="18" t="n">
        <x:v>46297.625</x:v>
      </x:c>
      <x:c r="M23" s="13" t="str">
        <x:v>test_upload_duplicados.py</x:v>
      </x:c>
    </x:row>
    <x:row r="24" ht="52" customHeight="1">
      <x:c r="A24" s="12" t="str">
        <x:v>T14</x:v>
      </x:c>
      <x:c r="B24" s="12" t="str">
        <x:v>P0</x:v>
      </x:c>
      <x:c r="C24" s="12" t="str">
        <x:v>Acesso</x:v>
      </x:c>
      <x:c r="D24" s="13" t="str">
        <x:v>Candidato não acessa inscrição alheia</x:v>
      </x:c>
      <x:c r="E24" s="13" t="str">
        <x:v>F01</x:v>
      </x:c>
      <x:c r="F24" s="13" t="str">
        <x:v>Com candidato A, tentar upload na inscrição do candidato B.</x:v>
      </x:c>
      <x:c r="G24" s="13" t="str">
        <x:v>HTTP 403; arquivo não é salvo na inscrição alheia.</x:v>
      </x:c>
      <x:c r="H24" s="14" t="str">
        <x:v>Aprovado</x:v>
      </x:c>
      <x:c r="I24" s="15" t="str">
        <x:v>Candidato B não enviou arquivo à inscrição A (HTTP 403).</x:v>
      </x:c>
      <x:c r="J24" s="15" t="str">
        <x:v>Rodada API isolada com F03.</x:v>
      </x:c>
      <x:c r="K24" s="14" t="str">
        <x:v>Codex</x:v>
      </x:c>
      <x:c r="L24" s="16" t="n">
        <x:v>46296.625</x:v>
      </x:c>
      <x:c r="M24" s="12"/>
    </x:row>
    <x:row r="25" ht="52" customHeight="1">
      <x:c r="A25" s="12" t="str">
        <x:v>T15</x:v>
      </x:c>
      <x:c r="B25" s="12" t="str">
        <x:v>P0</x:v>
      </x:c>
      <x:c r="C25" s="12" t="str">
        <x:v>Acesso</x:v>
      </x:c>
      <x:c r="D25" s="13" t="str">
        <x:v>Familiar de outra inscrição</x:v>
      </x:c>
      <x:c r="E25" s="13" t="str">
        <x:v>F01</x:v>
      </x:c>
      <x:c r="F25" s="13" t="str">
        <x:v>Enviar documento usando membro_id de outra inscrição.</x:v>
      </x:c>
      <x:c r="G25" s="13" t="str">
        <x:v>HTTP 400; arquivo não é associado ao familiar incorreto.</x:v>
      </x:c>
      <x:c r="H25" s="14" t="str">
        <x:v>Aprovado</x:v>
      </x:c>
      <x:c r="I25" s="15" t="str">
        <x:v>Familiar de outra inscrição recusado (HTTP 400).</x:v>
      </x:c>
      <x:c r="J25" s="15" t="str">
        <x:v>Rodada API isolada com F03.</x:v>
      </x:c>
      <x:c r="K25" s="14" t="str">
        <x:v>Codex</x:v>
      </x:c>
      <x:c r="L25" s="16" t="n">
        <x:v>46296.625</x:v>
      </x:c>
      <x:c r="M25" s="12"/>
    </x:row>
    <x:row r="26" ht="52" customHeight="1">
      <x:c r="A26" s="12" t="str">
        <x:v>T16</x:v>
      </x:c>
      <x:c r="B26" s="12" t="str">
        <x:v>P1</x:v>
      </x:c>
      <x:c r="C26" s="12" t="str">
        <x:v>Acesso</x:v>
      </x:c>
      <x:c r="D26" s="13" t="str">
        <x:v>Tipo solicitado de outro processo</x:v>
      </x:c>
      <x:c r="E26" s="13" t="str">
        <x:v>F01</x:v>
      </x:c>
      <x:c r="F26" s="13" t="str">
        <x:v>Usar solicitado_id que não pertence ao processo da inscrição.</x:v>
      </x:c>
      <x:c r="G26" s="13" t="str">
        <x:v>HTTP 400; arquivo não é associado ao processo errado.</x:v>
      </x:c>
      <x:c r="H26" s="14" t="str">
        <x:v>Não executado</x:v>
      </x:c>
      <x:c r="I26" s="15" t="str">
        <x:v>ID inexistente recebeu HTTP 400; ID de outro processo ainda não foi testado.</x:v>
      </x:c>
      <x:c r="J26" s="15" t="str">
        <x:v>Rodada API isolada com F03.</x:v>
      </x:c>
      <x:c r="K26" s="14" t="str"/>
      <x:c r="L26" s="16" t="str"/>
      <x:c r="M26" s="12"/>
    </x:row>
    <x:row r="27" ht="78" customHeight="1">
      <x:c r="A27" s="12" t="str">
        <x:v>T17</x:v>
      </x:c>
      <x:c r="B27" s="12" t="str">
        <x:v>P0</x:v>
      </x:c>
      <x:c r="C27" s="12" t="str">
        <x:v>Família</x:v>
      </x:c>
      <x:c r="D27" s="13" t="str">
        <x:v>Cadastrar e editar CPF do familiar</x:v>
      </x:c>
      <x:c r="E27" s="13" t="str">
        <x:v>—</x:v>
      </x:c>
      <x:c r="F27" s="13" t="str">
        <x:v>Cadastrar familiar com CPF controlado e depois editar o campo.</x:v>
      </x:c>
      <x:c r="G27" s="13" t="str">
        <x:v>CPF fica editável e persiste; não é substituído silenciosamente pela IA.</x:v>
      </x:c>
      <x:c r="H27" s="15" t="str">
        <x:v>Aprovado</x:v>
      </x:c>
      <x:c r="I27" s="15" t="str">
        <x:v>Cadastro via extração e edição do CPF familiar feitos na web. Valor salvo persistiu ao reabrir.</x:v>
      </x:c>
      <x:c r="J27" s="15" t="str">
        <x:v>Web, F05 e formulário familiar.</x:v>
      </x:c>
      <x:c r="K27" s="15" t="str">
        <x:v>Codex</x:v>
      </x:c>
      <x:c r="L27" s="18" t="n">
        <x:v>46297.625</x:v>
      </x:c>
      <x:c r="M27" s="13"/>
    </x:row>
    <x:row r="28" ht="78" customHeight="1">
      <x:c r="A28" s="12" t="str">
        <x:v>T18</x:v>
      </x:c>
      <x:c r="B28" s="12" t="str">
        <x:v>P0</x:v>
      </x:c>
      <x:c r="C28" s="12" t="str">
        <x:v>Família</x:v>
      </x:c>
      <x:c r="D28" s="13" t="str">
        <x:v>Identidade do familiar consistente</x:v>
      </x:c>
      <x:c r="E28" s="13" t="str">
        <x:v>F05</x:v>
      </x:c>
      <x:c r="F28" s="13" t="str">
        <x:v>Cadastrar familiar correspondente e enviar identidade no campo dele.</x:v>
      </x:c>
      <x:c r="G28" s="13" t="str">
        <x:v>Nome e CPF extraídos são confrontados com o cadastro correto.</x:v>
      </x:c>
      <x:c r="H28" s="15" t="str">
        <x:v>Aprovado</x:v>
      </x:c>
      <x:c r="I28" s="15" t="str">
        <x:v>CNH familiar concluída. Após restaurar CPF correto, auditoria não apresentou divergência de identidade.</x:v>
      </x:c>
      <x:c r="J28" s="15" t="str">
        <x:v>Web, F06 e conferência automática.</x:v>
      </x:c>
      <x:c r="K28" s="15" t="str">
        <x:v>Codex</x:v>
      </x:c>
      <x:c r="L28" s="18" t="n">
        <x:v>46297.625</x:v>
      </x:c>
      <x:c r="M28" s="13" t="str">
        <x:v>test_regras_negocio.py</x:v>
      </x:c>
    </x:row>
    <x:row r="29" ht="78" customHeight="1">
      <x:c r="A29" s="12" t="str">
        <x:v>T19</x:v>
      </x:c>
      <x:c r="B29" s="12" t="str">
        <x:v>P0</x:v>
      </x:c>
      <x:c r="C29" s="12" t="str">
        <x:v>Família</x:v>
      </x:c>
      <x:c r="D29" s="13" t="str">
        <x:v>CPF divergente do familiar</x:v>
      </x:c>
      <x:c r="E29" s="13" t="str">
        <x:v>F05</x:v>
      </x:c>
      <x:c r="F29" s="13" t="str">
        <x:v>Cadastrar CPF controlado diferente do documento e auditar.</x:v>
      </x:c>
      <x:c r="G29" s="13" t="str">
        <x:v>REVISAO_MANUAL com inconsistência de CPF; não resulta em APTO.</x:v>
      </x:c>
      <x:c r="H29" s="15" t="str">
        <x:v>Aprovado</x:v>
      </x:c>
      <x:c r="I29" s="15" t="str">
        <x:v>CPF familiar sintético diferente gerou REVISAO_MANUAL com motivo de divergência. Cadastro restaurado.</x:v>
      </x:c>
      <x:c r="J29" s="15" t="str">
        <x:v>Web, inscrição 9, conferência automática.</x:v>
      </x:c>
      <x:c r="K29" s="15" t="str">
        <x:v>Codex</x:v>
      </x:c>
      <x:c r="L29" s="18" t="n">
        <x:v>46297.625</x:v>
      </x:c>
      <x:c r="M29" s="13" t="str">
        <x:v>test_regras_negocio.py</x:v>
      </x:c>
    </x:row>
    <x:row r="30" ht="78" customHeight="1">
      <x:c r="A30" s="12" t="str">
        <x:v>T20</x:v>
      </x:c>
      <x:c r="B30" s="12" t="str">
        <x:v>P0</x:v>
      </x:c>
      <x:c r="C30" s="12" t="str">
        <x:v>Família</x:v>
      </x:c>
      <x:c r="D30" s="13" t="str">
        <x:v>CPF ausente do familiar</x:v>
      </x:c>
      <x:c r="E30" s="13" t="str">
        <x:v>F05</x:v>
      </x:c>
      <x:c r="F30" s="13" t="str">
        <x:v>Cadastrar familiar sem CPF e auditar após documentos necessários.</x:v>
      </x:c>
      <x:c r="G30" s="13" t="str">
        <x:v>REVISAO_MANUAL; ausência de CPF não confirma identidade.</x:v>
      </x:c>
      <x:c r="H30" s="15" t="str">
        <x:v>Aprovado</x:v>
      </x:c>
      <x:c r="I30" s="15" t="str">
        <x:v>CPF familiar vazio gerou REVISAO_MANUAL com motivo de ausência. Cadastro restaurado.</x:v>
      </x:c>
      <x:c r="J30" s="15" t="str">
        <x:v>Web, inscrição 9, conferência automática.</x:v>
      </x:c>
      <x:c r="K30" s="15" t="str">
        <x:v>Codex</x:v>
      </x:c>
      <x:c r="L30" s="18" t="n">
        <x:v>46297.625</x:v>
      </x:c>
      <x:c r="M30" s="13" t="str">
        <x:v>test_regras_negocio.py</x:v>
      </x:c>
    </x:row>
    <x:row r="31" ht="78" customHeight="1">
      <x:c r="A31" s="12" t="str">
        <x:v>T21</x:v>
      </x:c>
      <x:c r="B31" s="12" t="str">
        <x:v>P0</x:v>
      </x:c>
      <x:c r="C31" s="12" t="str">
        <x:v>Documentos</x:v>
      </x:c>
      <x:c r="D31" s="13" t="str">
        <x:v>Comprovante de residência recente</x:v>
      </x:c>
      <x:c r="E31" s="13" t="str">
        <x:v>F02</x:v>
      </x:c>
      <x:c r="F31" s="13" t="str">
        <x:v>Enviar comprovante com emissão de até 90 dias.</x:v>
      </x:c>
      <x:c r="G31" s="13" t="str">
        <x:v>Data e categoria são extraídas; documento pode seguir para auditoria.</x:v>
      </x:c>
      <x:c r="H31" s="15" t="str">
        <x:v>Bloqueado</x:v>
      </x:c>
      <x:c r="I31" s="15" t="str">
        <x:v>F02 está vencido. Não há comprovante recente no pack para executar o cenário positivo.</x:v>
      </x:c>
      <x:c r="J31" s="15" t="str">
        <x:v>F02: emissão há 191 dias.</x:v>
      </x:c>
      <x:c r="K31" s="15" t="str">
        <x:v>Codex</x:v>
      </x:c>
      <x:c r="L31" s="18" t="n">
        <x:v>46297.625</x:v>
      </x:c>
      <x:c r="M31" s="13" t="str">
        <x:v>test_validacao_documental.py</x:v>
      </x:c>
    </x:row>
    <x:row r="32" ht="78" customHeight="1">
      <x:c r="A32" s="12" t="str">
        <x:v>T22</x:v>
      </x:c>
      <x:c r="B32" s="12" t="str">
        <x:v>P0</x:v>
      </x:c>
      <x:c r="C32" s="12" t="str">
        <x:v>Documentos</x:v>
      </x:c>
      <x:c r="D32" s="13" t="str">
        <x:v>Comprovante vencido</x:v>
      </x:c>
      <x:c r="E32" s="13" t="str">
        <x:v>F02</x:v>
      </x:c>
      <x:c r="F32" s="13" t="str">
        <x:v>Enviar comprovante com emissão superior a 90 dias.</x:v>
      </x:c>
      <x:c r="G32" s="13" t="str">
        <x:v>Alerta de validade e REVISAO_MANUAL na auditoria.</x:v>
      </x:c>
      <x:c r="H32" s="15" t="str">
        <x:v>Aprovado</x:v>
      </x:c>
      <x:c r="I32" s="15" t="str">
        <x:v>Residência vencida gerou alerta de 191 dias e REVISAO_MANUAL na auditoria.</x:v>
      </x:c>
      <x:c r="J32" s="15" t="str">
        <x:v>Web, F02 e conferência automática.</x:v>
      </x:c>
      <x:c r="K32" s="15" t="str">
        <x:v>Codex</x:v>
      </x:c>
      <x:c r="L32" s="18" t="n">
        <x:v>46297.625</x:v>
      </x:c>
      <x:c r="M32" s="13" t="str">
        <x:v>test_regras_negocio.py</x:v>
      </x:c>
    </x:row>
    <x:row r="33" ht="78" customHeight="1">
      <x:c r="A33" s="12" t="str">
        <x:v>T23</x:v>
      </x:c>
      <x:c r="B33" s="12" t="str">
        <x:v>P0</x:v>
      </x:c>
      <x:c r="C33" s="12" t="str">
        <x:v>Auditoria</x:v>
      </x:c>
      <x:c r="D33" s="13" t="str">
        <x:v>Documento obrigatório ausente</x:v>
      </x:c>
      <x:c r="E33" s="13" t="str">
        <x:v>—</x:v>
      </x:c>
      <x:c r="F33" s="13" t="str">
        <x:v>Deixar um documento obrigatório sem envio concluído e solicitar auditoria.</x:v>
      </x:c>
      <x:c r="G33" s="13" t="str">
        <x:v>Status PENDENTE com lista dos documentos faltantes.</x:v>
      </x:c>
      <x:c r="H33" s="15" t="str">
        <x:v>Aprovado</x:v>
      </x:c>
      <x:c r="I33" s="15" t="str">
        <x:v>Ausência das CNHs obrigatórias impediu concluir envio. Auditoria listou pendências com PENDENTE.</x:v>
      </x:c>
      <x:c r="J33" s="15" t="str">
        <x:v>Web, inscrição 9 antes de F01/F06.</x:v>
      </x:c>
      <x:c r="K33" s="15" t="str">
        <x:v>Codex</x:v>
      </x:c>
      <x:c r="L33" s="18" t="n">
        <x:v>46297.625</x:v>
      </x:c>
      <x:c r="M33" s="13"/>
    </x:row>
    <x:row r="34" ht="78" customHeight="1">
      <x:c r="A34" s="12" t="str">
        <x:v>T24</x:v>
      </x:c>
      <x:c r="B34" s="12" t="str">
        <x:v>P0</x:v>
      </x:c>
      <x:c r="C34" s="12" t="str">
        <x:v>Auditoria</x:v>
      </x:c>
      <x:c r="D34" s="13" t="str">
        <x:v>Concluir envio com todos os obrigatórios</x:v>
      </x:c>
      <x:c r="E34" s="13" t="str">
        <x:v>F01,F06</x:v>
      </x:c>
      <x:c r="F34" s="13" t="str">
        <x:v>Enviar todos os tipos obrigatórios configurados, aguardar CONCLUIDO e concluir etapa.</x:v>
      </x:c>
      <x:c r="G34" s="13" t="str">
        <x:v>Inscrição entra em PRONTO_AUDITORIA.</x:v>
      </x:c>
      <x:c r="H34" s="15" t="str">
        <x:v>Aprovado</x:v>
      </x:c>
      <x:c r="I34" s="15" t="str">
        <x:v>Após concluir ambas as CNHs, envio entrou em PRONTO_AUDITORIA e apareceu na fila.</x:v>
      </x:c>
      <x:c r="J34" s="15" t="str">
        <x:v>Web, F01/F06; web-pronto-auditoria.jpg.</x:v>
      </x:c>
      <x:c r="K34" s="15" t="str">
        <x:v>Codex</x:v>
      </x:c>
      <x:c r="L34" s="18" t="n">
        <x:v>46297.625</x:v>
      </x:c>
      <x:c r="M34" s="13"/>
    </x:row>
    <x:row r="35" ht="78" customHeight="1">
      <x:c r="A35" s="12" t="str">
        <x:v>T25</x:v>
      </x:c>
      <x:c r="B35" s="12" t="str">
        <x:v>P0</x:v>
      </x:c>
      <x:c r="C35" s="12" t="str">
        <x:v>Auditoria</x:v>
      </x:c>
      <x:c r="D35" s="13" t="str">
        <x:v>Conferência lado a lado pelo analista</x:v>
      </x:c>
      <x:c r="E35" s="13" t="str">
        <x:v>F01,F02,F03</x:v>
      </x:c>
      <x:c r="F35" s="13" t="str">
        <x:v>Abrir a inscrição como analista e comparar arquivo, dados extraídos e cadastrados.</x:v>
      </x:c>
      <x:c r="G35" s="13" t="str">
        <x:v>Arquivo e dados da pessoa/categoria correta aparecem juntos, com alertas.</x:v>
      </x:c>
      <x:c r="H35" s="15" t="str">
        <x:v>Aprovado</x:v>
      </x:c>
      <x:c r="I35" s="15" t="str">
        <x:v>Administrador conferiu documento original e dados lado a lado. Motivos persistiram ao recarregar; revisão ficou na fila.</x:v>
      </x:c>
      <x:c r="J35" s="15" t="str">
        <x:v>Web, auditoria 9; web-revisao-manual.jpg.</x:v>
      </x:c>
      <x:c r="K35" s="15" t="str">
        <x:v>Codex</x:v>
      </x:c>
      <x:c r="L35" s="18" t="n">
        <x:v>46297.625</x:v>
      </x:c>
      <x:c r="M35" s="13" t="str">
        <x:v>test_operacional.py</x:v>
      </x:c>
    </x:row>
    <x:row r="36" ht="78" customHeight="1">
      <x:c r="A36" s="12" t="str">
        <x:v>T26</x:v>
      </x:c>
      <x:c r="B36" s="12" t="str">
        <x:v>P0</x:v>
      </x:c>
      <x:c r="C36" s="12" t="str">
        <x:v>Renda</x:v>
      </x:c>
      <x:c r="D36" s="13" t="str">
        <x:v>Extrair renda de holerite</x:v>
      </x:c>
      <x:c r="E36" s="13" t="str">
        <x:v>F08</x:v>
      </x:c>
      <x:c r="F36" s="13" t="str">
        <x:v>Enviar holerite controlado de candidato e familiar; auditar.</x:v>
      </x:c>
      <x:c r="G36" s="13" t="str">
        <x:v>Renda bruta é extraída e usada no cálculo per capita; resultado é rastreável.</x:v>
      </x:c>
      <x:c r="H36" s="15" t="str">
        <x:v>Bloqueado</x:v>
      </x:c>
      <x:c r="I36" s="15" t="str">
        <x:v>Não há holerites controlados para testar extração real e cálculo de renda.</x:v>
      </x:c>
      <x:c r="J36" s="15" t="str">
        <x:v>F08 ausente; não substituir por teste unitário.</x:v>
      </x:c>
      <x:c r="K36" s="15" t="str">
        <x:v>Codex</x:v>
      </x:c>
      <x:c r="L36" s="18" t="n">
        <x:v>46297.625</x:v>
      </x:c>
      <x:c r="M36" s="13" t="str">
        <x:v>test_regras_negocio.py</x:v>
      </x:c>
    </x:row>
    <x:row r="37" ht="78" customHeight="1">
      <x:c r="A37" s="12" t="str">
        <x:v>T27</x:v>
      </x:c>
      <x:c r="B37" s="12" t="str">
        <x:v>P0</x:v>
      </x:c>
      <x:c r="C37" s="12" t="str">
        <x:v>Renda</x:v>
      </x:c>
      <x:c r="D37" s="13" t="str">
        <x:v>Renda exatamente no teto</x:v>
      </x:c>
      <x:c r="E37" s="13" t="str">
        <x:v>F08</x:v>
      </x:c>
      <x:c r="F37" s="13" t="str">
        <x:v>Preparar renda e composição familiar que deem exatamente o limite; auditar.</x:v>
      </x:c>
      <x:c r="G37" s="13" t="str">
        <x:v>APTO somente se os demais dados forem consistentes.</x:v>
      </x:c>
      <x:c r="H37" s="15" t="str">
        <x:v>Bloqueado</x:v>
      </x:c>
      <x:c r="I37" s="15" t="str">
        <x:v>Faltam holerites e renda controlada exatamente no limite.</x:v>
      </x:c>
      <x:c r="J37" s="15" t="str">
        <x:v>F08 ausente.</x:v>
      </x:c>
      <x:c r="K37" s="15" t="str">
        <x:v>Codex</x:v>
      </x:c>
      <x:c r="L37" s="18" t="n">
        <x:v>46297.625</x:v>
      </x:c>
      <x:c r="M37" s="13" t="str">
        <x:v>test_regras_negocio.py</x:v>
      </x:c>
    </x:row>
    <x:row r="38" ht="78" customHeight="1">
      <x:c r="A38" s="12" t="str">
        <x:v>T28</x:v>
      </x:c>
      <x:c r="B38" s="12" t="str">
        <x:v>P0</x:v>
      </x:c>
      <x:c r="C38" s="12" t="str">
        <x:v>Renda</x:v>
      </x:c>
      <x:c r="D38" s="13" t="str">
        <x:v>Renda acima do teto com dados consistentes</x:v>
      </x:c>
      <x:c r="E38" s="13" t="str">
        <x:v>F08</x:v>
      </x:c>
      <x:c r="F38" s="13" t="str">
        <x:v>Preparar renda per capita acima do limite, sem inconsistências; auditar.</x:v>
      </x:c>
      <x:c r="G38" s="13" t="str">
        <x:v>NAO_APTO com renda calculada e justificativa do limite.</x:v>
      </x:c>
      <x:c r="H38" s="15" t="str">
        <x:v>Bloqueado</x:v>
      </x:c>
      <x:c r="I38" s="15" t="str">
        <x:v>Faltam holerites e renda controlada acima do limite com dados consistentes.</x:v>
      </x:c>
      <x:c r="J38" s="15" t="str">
        <x:v>F08 ausente.</x:v>
      </x:c>
      <x:c r="K38" s="15" t="str">
        <x:v>Codex</x:v>
      </x:c>
      <x:c r="L38" s="18" t="n">
        <x:v>46297.625</x:v>
      </x:c>
      <x:c r="M38" s="13" t="str">
        <x:v>test_regras_negocio.py</x:v>
      </x:c>
    </x:row>
    <x:row r="39" ht="78" customHeight="1">
      <x:c r="A39" s="12" t="str">
        <x:v>T29</x:v>
      </x:c>
      <x:c r="B39" s="12" t="str">
        <x:v>P0</x:v>
      </x:c>
      <x:c r="C39" s="12" t="str">
        <x:v>Renda</x:v>
      </x:c>
      <x:c r="D39" s="13" t="str">
        <x:v>Renda acima do teto com divergência</x:v>
      </x:c>
      <x:c r="E39" s="13" t="str">
        <x:v>F08,F05</x:v>
      </x:c>
      <x:c r="F39" s="13" t="str">
        <x:v>Introduzir divergência de identidade e renda acima do limite; auditar.</x:v>
      </x:c>
      <x:c r="G39" s="13" t="str">
        <x:v>REVISAO_MANUAL prevalece sobre NAO_APTO; alerta de renda permanece visível.</x:v>
      </x:c>
      <x:c r="H39" s="15" t="str">
        <x:v>Bloqueado</x:v>
      </x:c>
      <x:c r="I39" s="15" t="str">
        <x:v>Faltam holerites para executar o cenário de renda acima do limite com divergência.</x:v>
      </x:c>
      <x:c r="J39" s="15" t="str">
        <x:v>F08 ausente.</x:v>
      </x:c>
      <x:c r="K39" s="15" t="str">
        <x:v>Codex</x:v>
      </x:c>
      <x:c r="L39" s="18" t="n">
        <x:v>46297.625</x:v>
      </x:c>
      <x:c r="M39" s="13" t="str">
        <x:v>test_regras_negocio.py</x:v>
      </x:c>
    </x:row>
    <x:row r="40" ht="52" customHeight="1">
      <x:c r="A40" s="12" t="str">
        <x:v>T30</x:v>
      </x:c>
      <x:c r="B40" s="12" t="str">
        <x:v>P1</x:v>
      </x:c>
      <x:c r="C40" s="12" t="str">
        <x:v>Auditoria</x:v>
      </x:c>
      <x:c r="D40" s="13" t="str">
        <x:v>Parecer manual do analista</x:v>
      </x:c>
      <x:c r="E40" s="13" t="str">
        <x:v>—</x:v>
      </x:c>
      <x:c r="F40" s="13" t="str">
        <x:v>Em inscrição de revisão, registrar aprovação ou rejeição com justificativa.</x:v>
      </x:c>
      <x:c r="G40" s="13" t="str">
        <x:v>Decisão, justificativa e estado final persistem e aparecem na consulta.</x:v>
      </x:c>
      <x:c r="H40" s="14" t="str">
        <x:v>Não executado</x:v>
      </x:c>
      <x:c r="I40" s="15" t="str"/>
      <x:c r="J40" s="15" t="str"/>
      <x:c r="K40" s="14" t="str"/>
      <x:c r="L40" s="16"/>
      <x:c r="M40" s="12" t="str">
        <x:v>test_operacional.py</x:v>
      </x:c>
    </x:row>
    <x:row r="41" ht="78" customHeight="1">
      <x:c r="A41" s="12" t="str">
        <x:v>T31</x:v>
      </x:c>
      <x:c r="B41" s="12" t="str">
        <x:v>P0</x:v>
      </x:c>
      <x:c r="C41" s="12" t="str">
        <x:v>Acesso</x:v>
      </x:c>
      <x:c r="D41" s="13" t="str">
        <x:v>Candidato não acessa auditoria interna</x:v>
      </x:c>
      <x:c r="E41" s="13" t="str">
        <x:v>—</x:v>
      </x:c>
      <x:c r="F41" s="13" t="str">
        <x:v>Com perfil candidato, abrir detalhe de auditoria ou registrar parecer.</x:v>
      </x:c>
      <x:c r="G41" s="13" t="str">
        <x:v>Acesso negado; não há exposição de dados nem alteração do parecer.</x:v>
      </x:c>
      <x:c r="H41" s="15" t="str">
        <x:v>Aprovado</x:v>
      </x:c>
      <x:c r="I41" s="15" t="str">
        <x:v>Candidato tentou abrir auditoria 9. Acesso restrito a ANALISTA/ADMIN, sem dados internos exibidos.</x:v>
      </x:c>
      <x:c r="J41" s="15" t="str">
        <x:v>Web; proteção de parecer também coberta na rodada API.</x:v>
      </x:c>
      <x:c r="K41" s="15" t="str">
        <x:v>Codex</x:v>
      </x:c>
      <x:c r="L41" s="18" t="n">
        <x:v>46297.625</x:v>
      </x:c>
      <x:c r="M41" s="13"/>
    </x:row>
    <x:row r="42" ht="52" customHeight="1">
      <x:c r="A42" s="12" t="str">
        <x:v>T32</x:v>
      </x:c>
      <x:c r="B42" s="12" t="str">
        <x:v>P0</x:v>
      </x:c>
      <x:c r="C42" s="12" t="str">
        <x:v>Acesso</x:v>
      </x:c>
      <x:c r="D42" s="13" t="str">
        <x:v>Baixar documento de outra inscrição</x:v>
      </x:c>
      <x:c r="E42" s="13" t="str">
        <x:v>F01</x:v>
      </x:c>
      <x:c r="F42" s="13" t="str">
        <x:v>Com candidato B, tentar baixar arquivo enviado por candidato A.</x:v>
      </x:c>
      <x:c r="G42" s="13" t="str">
        <x:v>HTTP 403; conteúdo não é entregue.</x:v>
      </x:c>
      <x:c r="H42" s="14" t="str">
        <x:v>Aprovado</x:v>
      </x:c>
      <x:c r="I42" s="15" t="str">
        <x:v>Candidato B não baixou arquivo da inscrição A (HTTP 403).</x:v>
      </x:c>
      <x:c r="J42" s="15" t="str">
        <x:v>Rodada API isolada; doc 1.</x:v>
      </x:c>
      <x:c r="K42" s="14" t="str">
        <x:v>Codex</x:v>
      </x:c>
      <x:c r="L42" s="16" t="n">
        <x:v>46296.625</x:v>
      </x:c>
      <x:c r="M42" s="12"/>
    </x:row>
    <x:row r="43" ht="52" customHeight="1">
      <x:c r="A43" s="12" t="str">
        <x:v>T33</x:v>
      </x:c>
      <x:c r="B43" s="12" t="str">
        <x:v>P1</x:v>
      </x:c>
      <x:c r="C43" s="12" t="str">
        <x:v>Processamento</x:v>
      </x:c>
      <x:c r="D43" s="13" t="str">
        <x:v>Falha da API de extração</x:v>
      </x:c>
      <x:c r="E43" s="13" t="str">
        <x:v>F01</x:v>
      </x:c>
      <x:c r="F43" s="13" t="str">
        <x:v>Simular falha do provedor em ambiente de teste e consultar status.</x:v>
      </x:c>
      <x:c r="G43" s="13" t="str">
        <x:v>Documento termina em ERRO_EXTRACAO com mensagem; não fica preso em PROCESSANDO_IA.</x:v>
      </x:c>
      <x:c r="H43" s="14" t="str">
        <x:v>Não executado</x:v>
      </x:c>
      <x:c r="I43" s="15" t="str"/>
      <x:c r="J43" s="15" t="str"/>
      <x:c r="K43" s="14" t="str"/>
      <x:c r="L43" s="16" t="str"/>
      <x:c r="M43" s="12"/>
    </x:row>
  </x:sheetData>
  <x:conditionalFormatting sqref="H11:H43">
    <x:cfRule type="containsText" dxfId="0" priority="1" operator="containsText" text="Falhou"/>
    <x:cfRule type="containsText" dxfId="1" priority="2" operator="containsText" text="Bloqueado"/>
    <x:cfRule type="containsText" dxfId="2" priority="3" operator="containsText" text="Aprovado"/>
  </x:conditionalFormatting>
  <x:dataValidations count="1">
    <x:dataValidation type="list" sqref="H11:H43">
      <x:formula1>"Não executado,Aprovado,Falhou,Bloqueado,Não se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7d34f7358040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7" hidden="0" customWidth="1"/>
    <x:col min="4" max="4" width="19" hidden="0" customWidth="1"/>
    <x:col min="5" max="5" width="11" hidden="0" customWidth="1"/>
    <x:col min="6" max="6" width="16" hidden="0" customWidth="1"/>
    <x:col min="7" max="7" width="38" hidden="0" customWidth="1"/>
    <x:col min="8" max="8" width="16" hidden="0" customWidth="1"/>
    <x:col min="9" max="9" width="62" hidden="0" customWidth="1"/>
  </x:cols>
  <x:sheetData>
    <x:row r="2">
      <x:c r="A2" s="2" t="str">
        <x:v>Inventário dos arquivos controlados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7" t="str">
        <x:v>Os sete arquivos existentes foram inventariados por nome, formato e tamanho; conteúdo e dados pessoais não foram copiados.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7"/>
      <x:c r="B4" s="1"/>
      <x:c r="C4" s="1"/>
      <x:c r="D4" s="1"/>
      <x:c r="E4" s="1"/>
      <x:c r="F4" s="1"/>
      <x:c r="G4" s="1"/>
      <x:c r="H4" s="1"/>
      <x:c r="I4" s="1"/>
    </x:row>
    <x:row r="5">
      <x:c r="A5" s="7" t="str">
        <x:v>Pack A: doc-gabriel-mendes | Pack B: doc-gustavo-paes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7" t="str">
        <x:v>F02 atende ao caso de comprovante vencido. Ainda faltam holerites e comprovante recente.</x:v>
      </x:c>
      <x:c r="B6" s="1"/>
      <x:c r="C6" s="1"/>
      <x:c r="D6" s="1"/>
      <x:c r="E6" s="1"/>
      <x:c r="F6" s="1"/>
      <x:c r="G6" s="1"/>
      <x:c r="H6" s="1"/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11" t="str">
        <x:v>Código</x:v>
      </x:c>
      <x:c r="B8" s="11" t="str">
        <x:v>Pasta</x:v>
      </x:c>
      <x:c r="C8" s="11" t="str">
        <x:v>Arquivo</x:v>
      </x:c>
      <x:c r="D8" s="11" t="str">
        <x:v>Tipo sugerido</x:v>
      </x:c>
      <x:c r="E8" s="11" t="str">
        <x:v>Formato</x:v>
      </x:c>
      <x:c r="F8" s="11" t="str">
        <x:v>Tamanho (KB)</x:v>
      </x:c>
      <x:c r="G8" s="11" t="str">
        <x:v>Uso no teste</x:v>
      </x:c>
      <x:c r="H8" s="11" t="str">
        <x:v>Situação</x:v>
      </x:c>
      <x:c r="I8" s="11" t="str">
        <x:v>Observação</x:v>
      </x:c>
    </x:row>
    <x:row r="9" ht="65" customHeight="1">
      <x:c r="A9" s="12" t="str">
        <x:v>F01</x:v>
      </x:c>
      <x:c r="B9" s="12" t="str">
        <x:v>Pack A</x:v>
      </x:c>
      <x:c r="C9" s="12" t="str">
        <x:v>CNH_DIG_GA.pdf</x:v>
      </x:c>
      <x:c r="D9" s="12" t="str">
        <x:v>CNH</x:v>
      </x:c>
      <x:c r="E9" s="12" t="str">
        <x:v>.pdf</x:v>
      </x:c>
      <x:c r="F9" s="17" t="n">
        <x:v>285</x:v>
      </x:c>
      <x:c r="G9" s="13" t="str">
        <x:v>Identidade do titular</x:v>
      </x:c>
      <x:c r="H9" s="13" t="str">
        <x:v>Disponível</x:v>
      </x:c>
      <x:c r="I9" s="13" t="str">
        <x:v>CNH PDF enviada pela web. CPF inválido inicial levou à correção e novo processamento válido.</x:v>
      </x:c>
    </x:row>
    <x:row r="10" ht="65" customHeight="1">
      <x:c r="A10" s="12" t="str">
        <x:v>F02</x:v>
      </x:c>
      <x:c r="B10" s="12" t="str">
        <x:v>Pack A</x:v>
      </x:c>
      <x:c r="C10" s="12" t="str">
        <x:v>RES_GA.jpg</x:v>
      </x:c>
      <x:c r="D10" s="12" t="str">
        <x:v>RESIDENCIA</x:v>
      </x:c>
      <x:c r="E10" s="12" t="str">
        <x:v>.jpg</x:v>
      </x:c>
      <x:c r="F10" s="17" t="n">
        <x:v>899</x:v>
      </x:c>
      <x:c r="G10" s="13" t="str">
        <x:v>Comprovante de residência</x:v>
      </x:c>
      <x:c r="H10" s="13" t="str">
        <x:v>Disponível</x:v>
      </x:c>
      <x:c r="I10" s="13" t="str">
        <x:v>Comprovante emitido há 191 dias. Alerta de validade e revisão manual confirmados.</x:v>
      </x:c>
    </x:row>
    <x:row r="11" ht="65" customHeight="1">
      <x:c r="A11" s="12" t="str">
        <x:v>F03</x:v>
      </x:c>
      <x:c r="B11" s="12" t="str">
        <x:v>Pack A</x:v>
      </x:c>
      <x:c r="C11" s="12" t="str">
        <x:v>RG_FRENTE_GA.jpg</x:v>
      </x:c>
      <x:c r="D11" s="12" t="str">
        <x:v>RG</x:v>
      </x:c>
      <x:c r="E11" s="12" t="str">
        <x:v>.jpg</x:v>
      </x:c>
      <x:c r="F11" s="17" t="n">
        <x:v>2754</x:v>
      </x:c>
      <x:c r="G11" s="13" t="str">
        <x:v>RG frente</x:v>
      </x:c>
      <x:c r="H11" s="13" t="str">
        <x:v>Disponível</x:v>
      </x:c>
      <x:c r="I11" s="13" t="str">
        <x:v>RG frente concluído na etapa KYC pela web.</x:v>
      </x:c>
    </x:row>
    <x:row r="12" ht="65" customHeight="1">
      <x:c r="A12" s="12" t="str">
        <x:v>F04</x:v>
      </x:c>
      <x:c r="B12" s="12" t="str">
        <x:v>Pack A</x:v>
      </x:c>
      <x:c r="C12" s="12" t="str">
        <x:v>RG_VERSO_GA.jpg</x:v>
      </x:c>
      <x:c r="D12" s="12" t="str">
        <x:v>RG_VERSO</x:v>
      </x:c>
      <x:c r="E12" s="12" t="str">
        <x:v>.jpg</x:v>
      </x:c>
      <x:c r="F12" s="17" t="n">
        <x:v>355</x:v>
      </x:c>
      <x:c r="G12" s="13" t="str">
        <x:v>RG verso</x:v>
      </x:c>
      <x:c r="H12" s="13" t="str">
        <x:v>Disponível</x:v>
      </x:c>
      <x:c r="I12" s="13" t="str">
        <x:v>RG verso concluído no reteste, após corrigir CPF extraído da CNH.</x:v>
      </x:c>
    </x:row>
    <x:row r="13" ht="65" customHeight="1">
      <x:c r="A13" s="12" t="str">
        <x:v>F05</x:v>
      </x:c>
      <x:c r="B13" s="12" t="str">
        <x:v>Pack B</x:v>
      </x:c>
      <x:c r="C13" s="12" t="str">
        <x:v>CNH_ZERO_BOA.jpg</x:v>
      </x:c>
      <x:c r="D13" s="12" t="str">
        <x:v>CNH</x:v>
      </x:c>
      <x:c r="E13" s="12" t="str">
        <x:v>.jpg</x:v>
      </x:c>
      <x:c r="F13" s="17" t="n">
        <x:v>3526</x:v>
      </x:c>
      <x:c r="G13" s="13" t="str">
        <x:v>Identidade de outra pessoa / familiar</x:v>
      </x:c>
      <x:c r="H13" s="13" t="str">
        <x:v>Disponível</x:v>
      </x:c>
      <x:c r="I13" s="13" t="str">
        <x:v>Usada no cadastro familiar e no teste de documento de outra pessoa, rejeitado no campo do titular.</x:v>
      </x:c>
    </x:row>
    <x:row r="14" ht="65" customHeight="1">
      <x:c r="A14" s="12" t="str">
        <x:v>F06</x:v>
      </x:c>
      <x:c r="B14" s="12" t="str">
        <x:v>Pack B</x:v>
      </x:c>
      <x:c r="C14" s="12" t="str">
        <x:v>CNH_ZERO_DIG.pdf</x:v>
      </x:c>
      <x:c r="D14" s="12" t="str">
        <x:v>CNH</x:v>
      </x:c>
      <x:c r="E14" s="12" t="str">
        <x:v>.pdf</x:v>
      </x:c>
      <x:c r="F14" s="17" t="n">
        <x:v>284</x:v>
      </x:c>
      <x:c r="G14" s="13" t="str">
        <x:v>CNH digital alternativa</x:v>
      </x:c>
      <x:c r="H14" s="13" t="str">
        <x:v>Disponível</x:v>
      </x:c>
      <x:c r="I14" s="13" t="str">
        <x:v>CNH PDF concluída no campo do familiar. Identidade consistente na auditoria.</x:v>
      </x:c>
    </x:row>
    <x:row r="15" ht="43" customHeight="1">
      <x:c r="A15" s="12" t="str">
        <x:v>F07</x:v>
      </x:c>
      <x:c r="B15" s="12" t="str">
        <x:v>Pack B</x:v>
      </x:c>
      <x:c r="C15" s="12" t="str">
        <x:v>CNH_ZERO_RUIM.heif</x:v>
      </x:c>
      <x:c r="D15" s="12" t="str">
        <x:v>CNH</x:v>
      </x:c>
      <x:c r="E15" s="12" t="str">
        <x:v>.heif</x:v>
      </x:c>
      <x:c r="F15" s="17" t="n">
        <x:v>1705</x:v>
      </x:c>
      <x:c r="G15" s="13" t="str">
        <x:v>Formato não aceito</x:v>
      </x:c>
      <x:c r="H15" s="13" t="str">
        <x:v>Disponível</x:v>
      </x:c>
      <x:c r="I15" s="13" t="str">
        <x:v>HEIF não está nas extensões permitidas; converter uma cópia para testar legibilidade.</x:v>
      </x:c>
    </x:row>
    <x:row r="16" ht="43" customHeight="1">
      <x:c r="A16" s="12" t="str">
        <x:v>F08</x:v>
      </x:c>
      <x:c r="B16" s="12" t="str">
        <x:v>A preparar</x:v>
      </x:c>
      <x:c r="C16" s="12" t="str"/>
      <x:c r="D16" s="12" t="str">
        <x:v>HOLERITE</x:v>
      </x:c>
      <x:c r="E16" s="12" t="str"/>
      <x:c r="F16" s="17"/>
      <x:c r="G16" s="13" t="str">
        <x:v>Renda e limites</x:v>
      </x:c>
      <x:c r="H16" s="13" t="str">
        <x:v>Faltando</x:v>
      </x:c>
      <x:c r="I16" s="13" t="str">
        <x:v>Essencial para os cenários financeiros completos.</x:v>
      </x:c>
    </x:row>
    <x:row r="17" ht="43" customHeight="1">
      <x:c r="A17" s="12" t="str">
        <x:v>F09</x:v>
      </x:c>
      <x:c r="B17" s="12" t="str">
        <x:v>A preparar</x:v>
      </x:c>
      <x:c r="C17" s="12" t="str"/>
      <x:c r="D17" s="12" t="str">
        <x:v>RESIDENCIA</x:v>
      </x:c>
      <x:c r="E17" s="12" t="str"/>
      <x:c r="F17" s="17"/>
      <x:c r="G17" s="13" t="str">
        <x:v>Validade acima de 90 dias</x:v>
      </x:c>
      <x:c r="H17" s="13" t="str">
        <x:v>Não necessário</x:v>
      </x:c>
      <x:c r="I17" s="13" t="str">
        <x:v>F02 já atende ao cenário de comprovante vencido.</x:v>
      </x:c>
    </x:row>
    <x:row r="18" ht="43" customHeight="1">
      <x:c r="A18" s="12" t="str">
        <x:v>F10</x:v>
      </x:c>
      <x:c r="B18" s="12" t="str">
        <x:v>A preparar</x:v>
      </x:c>
      <x:c r="C18" s="12" t="str"/>
      <x:c r="D18" s="12" t="str">
        <x:v>RG/CNH</x:v>
      </x:c>
      <x:c r="E18" s="12" t="str"/>
      <x:c r="F18" s="17"/>
      <x:c r="G18" s="13" t="str">
        <x:v>Baixa legibilidade em formato aceito</x:v>
      </x:c>
      <x:c r="H18" s="13" t="str">
        <x:v>Faltando</x:v>
      </x:c>
      <x:c r="I18" s="13" t="str">
        <x:v>Pode ser cópia degradada de documento fictício.</x:v>
      </x:c>
    </x:row>
    <x:row r="19" ht="43" customHeight="1">
      <x:c r="A19" s="12" t="str">
        <x:v>F11</x:v>
      </x:c>
      <x:c r="B19" s="12" t="str">
        <x:v>A preparar</x:v>
      </x:c>
      <x:c r="C19" s="12" t="str"/>
      <x:c r="D19" s="12" t="str">
        <x:v>JPG/PDF</x:v>
      </x:c>
      <x:c r="E19" s="12" t="str"/>
      <x:c r="F19" s="17" t="n">
        <x:v>0</x:v>
      </x:c>
      <x:c r="G19" s="13" t="str">
        <x:v>Arquivo vazio</x:v>
      </x:c>
      <x:c r="H19" s="13" t="str">
        <x:v>Faltando</x:v>
      </x:c>
      <x:c r="I19" s="13" t="str">
        <x:v>Criar arquivo de zero byte apenas para rejeição no upload.</x:v>
      </x:c>
    </x:row>
    <x:row r="20" ht="43" customHeight="1">
      <x:c r="A20" s="12" t="str">
        <x:v>F12</x:v>
      </x:c>
      <x:c r="B20" s="12" t="str">
        <x:v>A preparar</x:v>
      </x:c>
      <x:c r="C20" s="12" t="str"/>
      <x:c r="D20" s="12" t="str">
        <x:v>JPG/PDF</x:v>
      </x:c>
      <x:c r="E20" s="12" t="str"/>
      <x:c r="F20" s="17"/>
      <x:c r="G20" s="13" t="str">
        <x:v>Arquivo acima de 15 MB</x:v>
      </x:c>
      <x:c r="H20" s="13" t="str">
        <x:v>Faltando</x:v>
      </x:c>
      <x:c r="I20" s="13" t="str">
        <x:v>Criar arquivo sintético; será rejeitado antes da IA.</x:v>
      </x:c>
    </x:row>
  </x:sheetData>
  <x:pageMargins left="0.7" right="0.7" top="0.75" bottom="0.75" header="0.3" footer="0.3"/>
  <x:tableParts count="1">
    <x:tablePart xmlns:r="http://schemas.openxmlformats.org/officeDocument/2006/relationships" r:id="Rd2380bbefcc24582"/>
  </x:tableParts>
</x:worksheet>
</file>